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NIEL\02. LEAN ACCOUNTING\AI AGENT\STUDY CASE\Study Case 1\"/>
    </mc:Choice>
  </mc:AlternateContent>
  <xr:revisionPtr revIDLastSave="0" documentId="13_ncr:1_{54617BCF-2254-4CB4-B4DF-C1876FEC17BA}" xr6:coauthVersionLast="47" xr6:coauthVersionMax="47" xr10:uidLastSave="{00000000-0000-0000-0000-000000000000}"/>
  <bookViews>
    <workbookView xWindow="-110" yWindow="-110" windowWidth="19420" windowHeight="11500" xr2:uid="{345A698E-C555-4C2C-904C-77DA06B33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0" i="1"/>
  <c r="C3" i="1"/>
  <c r="C9" i="1" s="1"/>
  <c r="B3" i="1"/>
  <c r="B9" i="1" s="1"/>
  <c r="B17" i="1" l="1"/>
  <c r="B19" i="1" s="1"/>
  <c r="B21" i="1" s="1"/>
  <c r="C17" i="1"/>
  <c r="C19" i="1" s="1"/>
  <c r="C21" i="1" s="1"/>
</calcChain>
</file>

<file path=xl/sharedStrings.xml><?xml version="1.0" encoding="utf-8"?>
<sst xmlns="http://schemas.openxmlformats.org/spreadsheetml/2006/main" count="23" uniqueCount="23">
  <si>
    <t>Net Sales</t>
  </si>
  <si>
    <t xml:space="preserve">   Material</t>
  </si>
  <si>
    <t xml:space="preserve">   Direct Labour</t>
  </si>
  <si>
    <t xml:space="preserve">   Variable Cost</t>
  </si>
  <si>
    <t xml:space="preserve">   Freight</t>
  </si>
  <si>
    <t xml:space="preserve">   Variance</t>
  </si>
  <si>
    <t>Gross Margin</t>
  </si>
  <si>
    <t>Factory Fixed Overhead:</t>
  </si>
  <si>
    <t xml:space="preserve">   Indirect Labour</t>
  </si>
  <si>
    <t xml:space="preserve">   Rental</t>
  </si>
  <si>
    <t xml:space="preserve">   Depreciation</t>
  </si>
  <si>
    <t xml:space="preserve">   R&amp;M</t>
  </si>
  <si>
    <t xml:space="preserve">   Others</t>
  </si>
  <si>
    <t>Other Income</t>
  </si>
  <si>
    <t>Gross Profit</t>
  </si>
  <si>
    <t>Claims &amp; BD</t>
  </si>
  <si>
    <t>Net Margin</t>
  </si>
  <si>
    <t>Op Costs</t>
  </si>
  <si>
    <t xml:space="preserve">EBIT </t>
  </si>
  <si>
    <t>Category</t>
  </si>
  <si>
    <t>Budget</t>
  </si>
  <si>
    <t>Actual</t>
  </si>
  <si>
    <t xml:space="preserve">COGS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</si>
</sst>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 applyAlignment="1">
      <alignment vertical="center"/>
    </xf>
    <xf numFmtId="0" fontId="3" fillId="3" borderId="1" xfId="1" applyFont="1" applyFill="1" applyBorder="1" applyAlignment="1">
      <alignment horizontal="left" vertical="top" wrapText="1"/>
    </xf>
    <xf numFmtId="0" fontId="2" fillId="0" borderId="0" xfId="1" applyFont="1" applyAlignment="1">
      <alignment vertical="center"/>
    </xf>
    <xf numFmtId="3" fontId="2" fillId="0" borderId="0" xfId="1" applyNumberFormat="1" applyFont="1" applyAlignment="1">
      <alignment vertical="center"/>
    </xf>
    <xf numFmtId="0" fontId="4" fillId="4" borderId="0" xfId="1" applyFont="1" applyFill="1" applyAlignment="1">
      <alignment vertical="center"/>
    </xf>
    <xf numFmtId="3" fontId="4" fillId="4" borderId="0" xfId="1" applyNumberFormat="1" applyFont="1" applyFill="1" applyAlignment="1">
      <alignment vertical="center"/>
    </xf>
    <xf numFmtId="3" fontId="4" fillId="2" borderId="0" xfId="1" applyNumberFormat="1" applyFont="1" applyFill="1" applyAlignment="1">
      <alignment vertical="center"/>
    </xf>
    <xf numFmtId="0" fontId="5" fillId="5" borderId="0" xfId="1" applyFont="1" applyFill="1" applyAlignment="1">
      <alignment horizontal="left" vertical="center" wrapText="1" indent="1" readingOrder="1"/>
    </xf>
    <xf numFmtId="3" fontId="0" fillId="0" borderId="0" xfId="1" applyNumberFormat="1" applyFont="1" applyAlignment="1">
      <alignment vertical="center"/>
    </xf>
    <xf numFmtId="0" fontId="6" fillId="6" borderId="0" xfId="1" applyFont="1" applyFill="1" applyAlignment="1">
      <alignment horizontal="left" vertical="center" wrapText="1" readingOrder="1"/>
    </xf>
    <xf numFmtId="0" fontId="3" fillId="7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2 5 2" xfId="1" xr:uid="{1942C5BA-5786-440A-AAF5-F99083D6E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4065-69DF-4BBC-ADCC-DAD7A65C4FD2}">
  <dimension ref="A1:C21"/>
  <sheetViews>
    <sheetView tabSelected="1" workbookViewId="0">
      <selection activeCell="H11" sqref="H11"/>
    </sheetView>
  </sheetViews>
  <sheetFormatPr defaultRowHeight="14.5" x14ac:dyDescent="0.35"/>
  <cols>
    <col min="1" max="1" width="18.90625" customWidth="1"/>
    <col min="2" max="3" width="15.26953125" customWidth="1"/>
  </cols>
  <sheetData>
    <row r="1" spans="1:3" x14ac:dyDescent="0.35">
      <c r="A1" s="2" t="s">
        <v>19</v>
      </c>
      <c r="B1" s="2" t="s">
        <v>20</v>
      </c>
      <c r="C1" s="11" t="s">
        <v>21</v>
      </c>
    </row>
    <row r="2" spans="1:3" x14ac:dyDescent="0.35">
      <c r="A2" s="3" t="s">
        <v>0</v>
      </c>
      <c r="B2" s="4">
        <v>5885.2666667140002</v>
      </c>
      <c r="C2" s="4">
        <v>5497.7969195779997</v>
      </c>
    </row>
    <row r="3" spans="1:3" x14ac:dyDescent="0.35">
      <c r="A3" s="3" t="s">
        <v>22</v>
      </c>
      <c r="B3" s="4">
        <f>SUM(B4:B8)</f>
        <v>4474.6095824634695</v>
      </c>
      <c r="C3" s="4">
        <f>SUM(C4:C8)</f>
        <v>4604.4903551819998</v>
      </c>
    </row>
    <row r="4" spans="1:3" x14ac:dyDescent="0.35">
      <c r="A4" s="3" t="s">
        <v>1</v>
      </c>
      <c r="B4" s="4">
        <v>4116.8432000319999</v>
      </c>
      <c r="C4" s="4">
        <v>3807.3067703380002</v>
      </c>
    </row>
    <row r="5" spans="1:3" x14ac:dyDescent="0.35">
      <c r="A5" s="3" t="s">
        <v>2</v>
      </c>
      <c r="B5" s="4">
        <v>213.9501486761952</v>
      </c>
      <c r="C5" s="4">
        <v>251.104576544</v>
      </c>
    </row>
    <row r="6" spans="1:3" x14ac:dyDescent="0.35">
      <c r="A6" s="3" t="s">
        <v>3</v>
      </c>
      <c r="B6" s="4">
        <v>127.9851670886076</v>
      </c>
      <c r="C6" s="4">
        <v>131.04909845600002</v>
      </c>
    </row>
    <row r="7" spans="1:3" x14ac:dyDescent="0.35">
      <c r="A7" s="3" t="s">
        <v>4</v>
      </c>
      <c r="B7" s="4">
        <v>137.4298</v>
      </c>
      <c r="C7" s="4">
        <v>229.68408432199999</v>
      </c>
    </row>
    <row r="8" spans="1:3" x14ac:dyDescent="0.35">
      <c r="A8" s="3" t="s">
        <v>5</v>
      </c>
      <c r="B8" s="4">
        <v>-121.59873333333334</v>
      </c>
      <c r="C8" s="4">
        <v>185.34582552200004</v>
      </c>
    </row>
    <row r="9" spans="1:3" x14ac:dyDescent="0.35">
      <c r="A9" s="5" t="s">
        <v>6</v>
      </c>
      <c r="B9" s="6">
        <f>B2-B3</f>
        <v>1410.6570842505307</v>
      </c>
      <c r="C9" s="6">
        <f>C2-C3</f>
        <v>893.30656439599989</v>
      </c>
    </row>
    <row r="10" spans="1:3" x14ac:dyDescent="0.35">
      <c r="A10" s="1" t="s">
        <v>7</v>
      </c>
      <c r="B10" s="7">
        <f>SUM(B11:B15)</f>
        <v>626.13497424799993</v>
      </c>
      <c r="C10" s="7">
        <f>SUM(C11:C15)</f>
        <v>336.49666442899996</v>
      </c>
    </row>
    <row r="11" spans="1:3" x14ac:dyDescent="0.35">
      <c r="A11" s="3" t="s">
        <v>8</v>
      </c>
      <c r="B11" s="4">
        <v>213.63149837199998</v>
      </c>
      <c r="C11" s="4">
        <v>126.595730166</v>
      </c>
    </row>
    <row r="12" spans="1:3" x14ac:dyDescent="0.35">
      <c r="A12" s="3" t="s">
        <v>9</v>
      </c>
      <c r="B12" s="4">
        <v>28.275462509999997</v>
      </c>
      <c r="C12" s="4">
        <v>11.400102803999999</v>
      </c>
    </row>
    <row r="13" spans="1:3" x14ac:dyDescent="0.35">
      <c r="A13" s="3" t="s">
        <v>10</v>
      </c>
      <c r="B13" s="4">
        <v>202.10094404399999</v>
      </c>
      <c r="C13" s="4">
        <v>99.357483684000002</v>
      </c>
    </row>
    <row r="14" spans="1:3" x14ac:dyDescent="0.35">
      <c r="A14" s="3" t="s">
        <v>11</v>
      </c>
      <c r="B14" s="4">
        <v>48.934599114000001</v>
      </c>
      <c r="C14" s="4">
        <v>35.566072581999997</v>
      </c>
    </row>
    <row r="15" spans="1:3" x14ac:dyDescent="0.35">
      <c r="A15" s="3" t="s">
        <v>12</v>
      </c>
      <c r="B15" s="4">
        <v>133.192470208</v>
      </c>
      <c r="C15" s="4">
        <v>63.577275193000006</v>
      </c>
    </row>
    <row r="16" spans="1:3" x14ac:dyDescent="0.35">
      <c r="A16" s="3" t="s">
        <v>13</v>
      </c>
      <c r="B16" s="4">
        <v>-25.316455695999998</v>
      </c>
      <c r="C16" s="4">
        <v>-232.371057979</v>
      </c>
    </row>
    <row r="17" spans="1:3" x14ac:dyDescent="0.35">
      <c r="A17" s="5" t="s">
        <v>14</v>
      </c>
      <c r="B17" s="6">
        <f>B9-B10-B16</f>
        <v>809.83856569853083</v>
      </c>
      <c r="C17" s="6">
        <f>C9-C10-C16</f>
        <v>789.18095794599981</v>
      </c>
    </row>
    <row r="18" spans="1:3" x14ac:dyDescent="0.35">
      <c r="A18" s="8" t="s">
        <v>15</v>
      </c>
      <c r="B18" s="9">
        <v>0</v>
      </c>
      <c r="C18" s="9">
        <v>-154.79736089299999</v>
      </c>
    </row>
    <row r="19" spans="1:3" x14ac:dyDescent="0.35">
      <c r="A19" s="10" t="s">
        <v>16</v>
      </c>
      <c r="B19" s="6">
        <f>B17-B18</f>
        <v>809.83856569853083</v>
      </c>
      <c r="C19" s="6">
        <f>C17-C18</f>
        <v>943.97831883899983</v>
      </c>
    </row>
    <row r="20" spans="1:3" x14ac:dyDescent="0.35">
      <c r="A20" s="8" t="s">
        <v>17</v>
      </c>
      <c r="B20" s="4">
        <v>361.31809860800001</v>
      </c>
      <c r="C20" s="4">
        <v>184.090525818</v>
      </c>
    </row>
    <row r="21" spans="1:3" x14ac:dyDescent="0.35">
      <c r="A21" s="10" t="s">
        <v>18</v>
      </c>
      <c r="B21" s="6">
        <f>B19-B20</f>
        <v>448.52046709053081</v>
      </c>
      <c r="C21" s="6">
        <f>C19-C20</f>
        <v>759.88779302099988</v>
      </c>
    </row>
  </sheetData>
  <pageMargins left="0.7" right="0.7" top="0.75" bottom="0.75" header="0.3" footer="0.3"/>
  <headerFooter>
    <oddHeader>&amp;R&amp;"Calibri"&amp;10&amp;K000000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Sihotang</dc:creator>
  <cp:lastModifiedBy>Daniel Sihotang</cp:lastModifiedBy>
  <dcterms:created xsi:type="dcterms:W3CDTF">2025-08-26T09:44:23Z</dcterms:created>
  <dcterms:modified xsi:type="dcterms:W3CDTF">2025-09-06T00:09:48Z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01872-c593-4c6b-a527-2abdf9321c52_Enabled">
    <vt:lpwstr>true</vt:lpwstr>
  </property>
  <property fmtid="{D5CDD505-2E9C-101B-9397-08002B2CF9AE}" pid="3" name="MSIP_Label_b1f01872-c593-4c6b-a527-2abdf9321c52_SetDate">
    <vt:lpwstr>2025-08-26T09:45:01Z</vt:lpwstr>
  </property>
  <property fmtid="{D5CDD505-2E9C-101B-9397-08002B2CF9AE}" pid="4" name="MSIP_Label_b1f01872-c593-4c6b-a527-2abdf9321c52_Method">
    <vt:lpwstr>Standard</vt:lpwstr>
  </property>
  <property fmtid="{D5CDD505-2E9C-101B-9397-08002B2CF9AE}" pid="5" name="MSIP_Label_b1f01872-c593-4c6b-a527-2abdf9321c52_Name">
    <vt:lpwstr>Meiyume - Internal</vt:lpwstr>
  </property>
  <property fmtid="{D5CDD505-2E9C-101B-9397-08002B2CF9AE}" pid="6" name="MSIP_Label_b1f01872-c593-4c6b-a527-2abdf9321c52_SiteId">
    <vt:lpwstr>c4d8a220-a9ec-4572-8c77-ab36a3ecdbae</vt:lpwstr>
  </property>
  <property fmtid="{D5CDD505-2E9C-101B-9397-08002B2CF9AE}" pid="7" name="MSIP_Label_b1f01872-c593-4c6b-a527-2abdf9321c52_ActionId">
    <vt:lpwstr>e044ae17-cb25-4bc0-89d1-82e6fae4a95b</vt:lpwstr>
  </property>
  <property fmtid="{D5CDD505-2E9C-101B-9397-08002B2CF9AE}" pid="8" name="MSIP_Label_b1f01872-c593-4c6b-a527-2abdf9321c52_ContentBits">
    <vt:lpwstr>1</vt:lpwstr>
  </property>
  <property fmtid="{D5CDD505-2E9C-101B-9397-08002B2CF9AE}" pid="9" name="MSIP_Label_b1f01872-c593-4c6b-a527-2abdf9321c52_Tag">
    <vt:lpwstr>10, 3, 0, 1</vt:lpwstr>
  </property>
</Properties>
</file>